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gress" sheetId="2" state="visible" r:id="rId4"/>
    <sheet name="Slides" sheetId="3" state="visible" r:id="rId5"/>
  </sheets>
  <definedNames>
    <definedName function="false" hidden="true" localSheetId="1" name="_xlnm._FilterDatabase" vbProcedure="false">Progress!$A$1:$I$61</definedName>
    <definedName function="false" hidden="true" localSheetId="2" name="_xlnm._FilterDatabase" vbProcedure="false">Slides!$A$1:$E$21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<sst xmlns="http://schemas.openxmlformats.org/spreadsheetml/2006/main" count="536" uniqueCount="65">
  <si>
    <t xml:space="preserve">MyGuide — production progress</t>
  </si>
  <si>
    <t xml:space="preserve">This workbook is the master record of production progress. The dashboard reads it; it does not write back.</t>
  </si>
  <si>
    <t xml:space="preserve">How to use it</t>
  </si>
  <si>
    <t xml:space="preserve">1. Edit the blue cells on the Progress and Slides tabs. Leave every other column alone.</t>
  </si>
  <si>
    <t xml:space="preserve">2. Save the file (it can stay in SharePoint — several people can edit at once).</t>
  </si>
  <si>
    <t xml:space="preserve">3. Open MyGuide-dashboard.html, click "Import from Excel" and pick this file.</t>
  </si>
  <si>
    <t xml:space="preserve">4. Click "Export figures (.json)", rename the result to progress.json and upload it to GitHub.</t>
  </si>
  <si>
    <t xml:space="preserve">Which cells to edit</t>
  </si>
  <si>
    <t xml:space="preserve">Blue text = you fill this in.   Grey text = identifiers, do not change them.</t>
  </si>
  <si>
    <t xml:space="preserve">The Segment / Audience / Language / Chapter columns are how the importer finds each deck.</t>
  </si>
  <si>
    <t xml:space="preserve">Editing, reordering or deleting those grey cells will make rows fail to import.</t>
  </si>
  <si>
    <t xml:space="preserve">Adding rows is not supported — the 60 progress rows and 20 slide rows are the complete set.</t>
  </si>
  <si>
    <t xml:space="preserve">Allowed values</t>
  </si>
  <si>
    <t xml:space="preserve">Progress %      0, 10, 20 … 100. Whole tens only — the dashboard tracks progress in 10% zones.</t>
  </si>
  <si>
    <t xml:space="preserve">Feedback 1 / 2  not started  |  in review  |  processed</t>
  </si>
  <si>
    <t xml:space="preserve">Validated       yes  |  no</t>
  </si>
  <si>
    <t xml:space="preserve">Slides          a whole number, 0 or more.</t>
  </si>
  <si>
    <t xml:space="preserve">Each of those columns has a dropdown, so you should not need to type them by hand.</t>
  </si>
  <si>
    <t xml:space="preserve">Why slides sit on their own tab</t>
  </si>
  <si>
    <t xml:space="preserve">Slide counts do not change between languages — NL, FR and EN of the same deck have the same</t>
  </si>
  <si>
    <t xml:space="preserve">slides. So they are recorded once per segment + audience (20 values) rather than 60 times.</t>
  </si>
  <si>
    <t xml:space="preserve">How the percentages are weighted</t>
  </si>
  <si>
    <t xml:space="preserve">The dashboard does not average these numbers flatly. NL decks count double (they are built from</t>
  </si>
  <si>
    <t xml:space="preserve">scratch, the other languages derive from them), and each chapter counts in proportion to its</t>
  </si>
  <si>
    <t xml:space="preserve">slide count. That is why the dashboard headline will not match a plain average of column F.</t>
  </si>
  <si>
    <t xml:space="preserve"> </t>
  </si>
  <si>
    <t xml:space="preserve">Reading the Progress tab</t>
  </si>
  <si>
    <t xml:space="preserve">Blue cells are yours to edit. Grey columns A-E identify the deck; changing them breaks the import.</t>
  </si>
  <si>
    <t xml:space="preserve">Rows shaded pale blue are the NL base versions.</t>
  </si>
  <si>
    <t xml:space="preserve">Example: a chapter that is drafted, has had its first feedback round processed and is waiting on</t>
  </si>
  <si>
    <t xml:space="preserve">round 2 would read   80  /  processed  /  in review  /  no.</t>
  </si>
  <si>
    <t xml:space="preserve">Reading the Slides tab</t>
  </si>
  <si>
    <t xml:space="preserve">The four "slides per deck" totals under the table are calculated, not inputs.</t>
  </si>
  <si>
    <t xml:space="preserve">Do not type notes underneath either table. Anything in the rows below the data gets read</t>
  </si>
  <si>
    <t xml:space="preserve">as if it were a row. Put remarks here on this tab instead.</t>
  </si>
  <si>
    <t xml:space="preserve">Segment</t>
  </si>
  <si>
    <t xml:space="preserve">Audience</t>
  </si>
  <si>
    <t xml:space="preserve">Language</t>
  </si>
  <si>
    <t xml:space="preserve">Chapter</t>
  </si>
  <si>
    <t xml:space="preserve">Chapter title</t>
  </si>
  <si>
    <t xml:space="preserve">Progress %</t>
  </si>
  <si>
    <t xml:space="preserve">Feedback 1</t>
  </si>
  <si>
    <t xml:space="preserve">Feedback 2</t>
  </si>
  <si>
    <t xml:space="preserve">Validated</t>
  </si>
  <si>
    <t xml:space="preserve">Private</t>
  </si>
  <si>
    <t xml:space="preserve">Individual</t>
  </si>
  <si>
    <t xml:space="preserve">NL</t>
  </si>
  <si>
    <t xml:space="preserve">Welkom bij Private banking</t>
  </si>
  <si>
    <t xml:space="preserve">not started</t>
  </si>
  <si>
    <t xml:space="preserve">no</t>
  </si>
  <si>
    <t xml:space="preserve">Advies op maat</t>
  </si>
  <si>
    <t xml:space="preserve">6 kernvragen</t>
  </si>
  <si>
    <t xml:space="preserve">MyDebrief</t>
  </si>
  <si>
    <t xml:space="preserve">Documentenbibliotheek</t>
  </si>
  <si>
    <t xml:space="preserve">FR</t>
  </si>
  <si>
    <t xml:space="preserve">EN</t>
  </si>
  <si>
    <t xml:space="preserve">Professional</t>
  </si>
  <si>
    <t xml:space="preserve">Priority</t>
  </si>
  <si>
    <t xml:space="preserve">Welkom bij Priority banking</t>
  </si>
  <si>
    <t xml:space="preserve">Slides</t>
  </si>
  <si>
    <t xml:space="preserve">Slides per deck, Private / Individual:</t>
  </si>
  <si>
    <t xml:space="preserve">Slides per deck, Private / Professional:</t>
  </si>
  <si>
    <t xml:space="preserve">Slides per deck, Priority / Individual:</t>
  </si>
  <si>
    <t xml:space="preserve">Slides per deck, Priority / Professional:</t>
  </si>
  <si>
    <t xml:space="preserve">Total across all 12 decks (each deck built in 3 languages):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</si>
</sst>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4C4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D8A84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4C45"/>
        <bgColor rgb="FF003300"/>
      </patternFill>
    </fill>
    <fill>
      <patternFill patternType="solid">
        <fgColor rgb="FFEFF4F2"/>
        <bgColor rgb="FFFFFFFF"/>
      </patternFill>
    </fill>
    <fill>
      <patternFill patternType="solid">
        <fgColor rgb="FFFFF7D6"/>
        <bgColor rgb="FFEFF4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BD8"/>
      </left>
      <right style="thin">
        <color rgb="FFD6DBD8"/>
      </right>
      <top style="thin">
        <color rgb="FFD6DBD8"/>
      </top>
      <bottom style="thin">
        <color rgb="FFD6DB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04C45"/>
          <bgColor rgb="FF000000"/>
        </patternFill>
      </fill>
    </dxf>
    <dxf>
      <fill>
        <patternFill patternType="solid">
          <fgColor rgb="FFEFF4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D8A8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D8A84"/>
      <rgbColor rgb="FF9999FF"/>
      <rgbColor rgb="FF993366"/>
      <rgbColor rgb="FFFFF7D6"/>
      <rgbColor rgb="FFEFF4F2"/>
      <rgbColor rgb="FF660066"/>
      <rgbColor rgb="FFFF8080"/>
      <rgbColor rgb="FF0066CC"/>
      <rgbColor rgb="FFD6DB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C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3" customFormat="false" ht="15" hidden="false" customHeight="false" outlineLevel="0" collapsed="false">
      <c r="A23" s="2" t="s">
        <v>17</v>
      </c>
    </row>
    <row r="25" customFormat="false" ht="15" hidden="false" customHeight="false" outlineLevel="0" collapsed="false">
      <c r="A25" s="3" t="s">
        <v>18</v>
      </c>
    </row>
    <row r="26" customFormat="false" ht="15" hidden="false" customHeight="false" outlineLevel="0" collapsed="false">
      <c r="A26" s="2" t="s">
        <v>19</v>
      </c>
    </row>
    <row r="27" customFormat="false" ht="15" hidden="false" customHeight="false" outlineLevel="0" collapsed="false">
      <c r="A27" s="2" t="s">
        <v>20</v>
      </c>
    </row>
    <row r="29" customFormat="false" ht="15" hidden="false" customHeight="false" outlineLevel="0" collapsed="false">
      <c r="A29" s="3" t="s">
        <v>21</v>
      </c>
    </row>
    <row r="30" customFormat="false" ht="15" hidden="false" customHeight="false" outlineLevel="0" collapsed="false">
      <c r="A30" s="2" t="s">
        <v>22</v>
      </c>
    </row>
    <row r="31" customFormat="false" ht="15" hidden="false" customHeight="false" outlineLevel="0" collapsed="false">
      <c r="A31" s="2" t="s">
        <v>23</v>
      </c>
    </row>
    <row r="32" customFormat="false" ht="15" hidden="false" customHeight="false" outlineLevel="0" collapsed="false">
      <c r="A32" s="2" t="s">
        <v>24</v>
      </c>
    </row>
    <row r="33" customFormat="false" ht="15" hidden="false" customHeight="false" outlineLevel="0" collapsed="false">
      <c r="A33" s="0" t="s">
        <v>25</v>
      </c>
    </row>
    <row r="34" customFormat="false" ht="15" hidden="false" customHeight="false" outlineLevel="0" collapsed="false">
      <c r="A34" s="3" t="s">
        <v>26</v>
      </c>
    </row>
    <row r="35" customFormat="false" ht="15" hidden="false" customHeight="false" outlineLevel="0" collapsed="false">
      <c r="A35" s="2" t="s">
        <v>27</v>
      </c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2" t="s">
        <v>29</v>
      </c>
    </row>
    <row r="38" customFormat="false" ht="15" hidden="false" customHeight="false" outlineLevel="0" collapsed="false">
      <c r="A38" s="2" t="s">
        <v>30</v>
      </c>
    </row>
    <row r="39" customFormat="false" ht="15" hidden="false" customHeight="false" outlineLevel="0" collapsed="false">
      <c r="A39" s="0" t="s">
        <v>25</v>
      </c>
    </row>
    <row r="40" customFormat="false" ht="15" hidden="false" customHeight="false" outlineLevel="0" collapsed="false">
      <c r="A40" s="3" t="s">
        <v>31</v>
      </c>
    </row>
    <row r="41" customFormat="false" ht="15" hidden="false" customHeight="false" outlineLevel="0" collapsed="false">
      <c r="A41" s="2" t="s">
        <v>32</v>
      </c>
    </row>
    <row r="42" customFormat="false" ht="15" hidden="false" customHeight="false" outlineLevel="0" collapsed="false">
      <c r="A42" s="0" t="s">
        <v>25</v>
      </c>
    </row>
    <row r="43" customFormat="false" ht="15" hidden="false" customHeight="false" outlineLevel="0" collapsed="false">
      <c r="A43" s="2" t="s">
        <v>33</v>
      </c>
    </row>
    <row r="44" customFormat="false" ht="15" hidden="false" customHeight="false" outlineLevel="0" collapsed="false">
      <c r="A44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1"/>
  </cols>
  <sheetData>
    <row r="1" customFormat="false" ht="27.75" hidden="false" customHeight="true" outlineLevel="0" collapsed="false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</row>
    <row r="2" customFormat="false" ht="15" hidden="false" customHeight="false" outlineLevel="0" collapsed="false">
      <c r="A2" s="5" t="s">
        <v>44</v>
      </c>
      <c r="B2" s="5" t="s">
        <v>45</v>
      </c>
      <c r="C2" s="5" t="s">
        <v>46</v>
      </c>
      <c r="D2" s="5" t="n">
        <v>1</v>
      </c>
      <c r="E2" s="6" t="s">
        <v>47</v>
      </c>
      <c r="F2" s="7" t="n">
        <v>0</v>
      </c>
      <c r="G2" s="7" t="s">
        <v>48</v>
      </c>
      <c r="H2" s="7" t="s">
        <v>48</v>
      </c>
      <c r="I2" s="7" t="s">
        <v>49</v>
      </c>
    </row>
    <row r="3" customFormat="false" ht="15" hidden="false" customHeight="false" outlineLevel="0" collapsed="false">
      <c r="A3" s="5" t="s">
        <v>44</v>
      </c>
      <c r="B3" s="5" t="s">
        <v>45</v>
      </c>
      <c r="C3" s="5" t="s">
        <v>46</v>
      </c>
      <c r="D3" s="5" t="n">
        <v>2</v>
      </c>
      <c r="E3" s="6" t="s">
        <v>50</v>
      </c>
      <c r="F3" s="7" t="n">
        <v>0</v>
      </c>
      <c r="G3" s="7" t="s">
        <v>48</v>
      </c>
      <c r="H3" s="7" t="s">
        <v>48</v>
      </c>
      <c r="I3" s="7" t="s">
        <v>49</v>
      </c>
    </row>
    <row r="4" customFormat="false" ht="15" hidden="false" customHeight="false" outlineLevel="0" collapsed="false">
      <c r="A4" s="5" t="s">
        <v>44</v>
      </c>
      <c r="B4" s="5" t="s">
        <v>45</v>
      </c>
      <c r="C4" s="5" t="s">
        <v>46</v>
      </c>
      <c r="D4" s="5" t="n">
        <v>3</v>
      </c>
      <c r="E4" s="6" t="s">
        <v>51</v>
      </c>
      <c r="F4" s="7" t="n">
        <v>0</v>
      </c>
      <c r="G4" s="7" t="s">
        <v>48</v>
      </c>
      <c r="H4" s="7" t="s">
        <v>48</v>
      </c>
      <c r="I4" s="7" t="s">
        <v>49</v>
      </c>
    </row>
    <row r="5" customFormat="false" ht="15" hidden="false" customHeight="false" outlineLevel="0" collapsed="false">
      <c r="A5" s="5" t="s">
        <v>44</v>
      </c>
      <c r="B5" s="5" t="s">
        <v>45</v>
      </c>
      <c r="C5" s="5" t="s">
        <v>46</v>
      </c>
      <c r="D5" s="5" t="n">
        <v>4</v>
      </c>
      <c r="E5" s="6" t="s">
        <v>52</v>
      </c>
      <c r="F5" s="7" t="n">
        <v>0</v>
      </c>
      <c r="G5" s="7" t="s">
        <v>48</v>
      </c>
      <c r="H5" s="7" t="s">
        <v>48</v>
      </c>
      <c r="I5" s="7" t="s">
        <v>49</v>
      </c>
    </row>
    <row r="6" customFormat="false" ht="15" hidden="false" customHeight="false" outlineLevel="0" collapsed="false">
      <c r="A6" s="5" t="s">
        <v>44</v>
      </c>
      <c r="B6" s="5" t="s">
        <v>45</v>
      </c>
      <c r="C6" s="5" t="s">
        <v>46</v>
      </c>
      <c r="D6" s="5" t="n">
        <v>5</v>
      </c>
      <c r="E6" s="6" t="s">
        <v>53</v>
      </c>
      <c r="F6" s="7" t="n">
        <v>0</v>
      </c>
      <c r="G6" s="7" t="s">
        <v>48</v>
      </c>
      <c r="H6" s="7" t="s">
        <v>48</v>
      </c>
      <c r="I6" s="7" t="s">
        <v>49</v>
      </c>
    </row>
    <row r="7" customFormat="false" ht="15" hidden="false" customHeight="false" outlineLevel="0" collapsed="false">
      <c r="A7" s="8" t="s">
        <v>44</v>
      </c>
      <c r="B7" s="8" t="s">
        <v>45</v>
      </c>
      <c r="C7" s="8" t="s">
        <v>54</v>
      </c>
      <c r="D7" s="8" t="n">
        <v>1</v>
      </c>
      <c r="E7" s="9" t="s">
        <v>47</v>
      </c>
      <c r="F7" s="7" t="n">
        <v>0</v>
      </c>
      <c r="G7" s="7" t="s">
        <v>48</v>
      </c>
      <c r="H7" s="7" t="s">
        <v>48</v>
      </c>
      <c r="I7" s="7" t="s">
        <v>49</v>
      </c>
    </row>
    <row r="8" customFormat="false" ht="15" hidden="false" customHeight="false" outlineLevel="0" collapsed="false">
      <c r="A8" s="8" t="s">
        <v>44</v>
      </c>
      <c r="B8" s="8" t="s">
        <v>45</v>
      </c>
      <c r="C8" s="8" t="s">
        <v>54</v>
      </c>
      <c r="D8" s="8" t="n">
        <v>2</v>
      </c>
      <c r="E8" s="9" t="s">
        <v>50</v>
      </c>
      <c r="F8" s="7" t="n">
        <v>0</v>
      </c>
      <c r="G8" s="7" t="s">
        <v>48</v>
      </c>
      <c r="H8" s="7" t="s">
        <v>48</v>
      </c>
      <c r="I8" s="7" t="s">
        <v>49</v>
      </c>
    </row>
    <row r="9" customFormat="false" ht="15" hidden="false" customHeight="false" outlineLevel="0" collapsed="false">
      <c r="A9" s="8" t="s">
        <v>44</v>
      </c>
      <c r="B9" s="8" t="s">
        <v>45</v>
      </c>
      <c r="C9" s="8" t="s">
        <v>54</v>
      </c>
      <c r="D9" s="8" t="n">
        <v>3</v>
      </c>
      <c r="E9" s="9" t="s">
        <v>51</v>
      </c>
      <c r="F9" s="7" t="n">
        <v>0</v>
      </c>
      <c r="G9" s="7" t="s">
        <v>48</v>
      </c>
      <c r="H9" s="7" t="s">
        <v>48</v>
      </c>
      <c r="I9" s="7" t="s">
        <v>49</v>
      </c>
    </row>
    <row r="10" customFormat="false" ht="15" hidden="false" customHeight="false" outlineLevel="0" collapsed="false">
      <c r="A10" s="8" t="s">
        <v>44</v>
      </c>
      <c r="B10" s="8" t="s">
        <v>45</v>
      </c>
      <c r="C10" s="8" t="s">
        <v>54</v>
      </c>
      <c r="D10" s="8" t="n">
        <v>4</v>
      </c>
      <c r="E10" s="9" t="s">
        <v>52</v>
      </c>
      <c r="F10" s="7" t="n">
        <v>0</v>
      </c>
      <c r="G10" s="7" t="s">
        <v>48</v>
      </c>
      <c r="H10" s="7" t="s">
        <v>48</v>
      </c>
      <c r="I10" s="7" t="s">
        <v>49</v>
      </c>
    </row>
    <row r="11" customFormat="false" ht="15" hidden="false" customHeight="false" outlineLevel="0" collapsed="false">
      <c r="A11" s="8" t="s">
        <v>44</v>
      </c>
      <c r="B11" s="8" t="s">
        <v>45</v>
      </c>
      <c r="C11" s="8" t="s">
        <v>54</v>
      </c>
      <c r="D11" s="8" t="n">
        <v>5</v>
      </c>
      <c r="E11" s="9" t="s">
        <v>53</v>
      </c>
      <c r="F11" s="7" t="n">
        <v>0</v>
      </c>
      <c r="G11" s="7" t="s">
        <v>48</v>
      </c>
      <c r="H11" s="7" t="s">
        <v>48</v>
      </c>
      <c r="I11" s="7" t="s">
        <v>49</v>
      </c>
    </row>
    <row r="12" customFormat="false" ht="15" hidden="false" customHeight="false" outlineLevel="0" collapsed="false">
      <c r="A12" s="8" t="s">
        <v>44</v>
      </c>
      <c r="B12" s="8" t="s">
        <v>45</v>
      </c>
      <c r="C12" s="8" t="s">
        <v>55</v>
      </c>
      <c r="D12" s="8" t="n">
        <v>1</v>
      </c>
      <c r="E12" s="9" t="s">
        <v>47</v>
      </c>
      <c r="F12" s="7" t="n">
        <v>0</v>
      </c>
      <c r="G12" s="7" t="s">
        <v>48</v>
      </c>
      <c r="H12" s="7" t="s">
        <v>48</v>
      </c>
      <c r="I12" s="7" t="s">
        <v>49</v>
      </c>
    </row>
    <row r="13" customFormat="false" ht="15" hidden="false" customHeight="false" outlineLevel="0" collapsed="false">
      <c r="A13" s="8" t="s">
        <v>44</v>
      </c>
      <c r="B13" s="8" t="s">
        <v>45</v>
      </c>
      <c r="C13" s="8" t="s">
        <v>55</v>
      </c>
      <c r="D13" s="8" t="n">
        <v>2</v>
      </c>
      <c r="E13" s="9" t="s">
        <v>50</v>
      </c>
      <c r="F13" s="7" t="n">
        <v>0</v>
      </c>
      <c r="G13" s="7" t="s">
        <v>48</v>
      </c>
      <c r="H13" s="7" t="s">
        <v>48</v>
      </c>
      <c r="I13" s="7" t="s">
        <v>49</v>
      </c>
    </row>
    <row r="14" customFormat="false" ht="15" hidden="false" customHeight="false" outlineLevel="0" collapsed="false">
      <c r="A14" s="8" t="s">
        <v>44</v>
      </c>
      <c r="B14" s="8" t="s">
        <v>45</v>
      </c>
      <c r="C14" s="8" t="s">
        <v>55</v>
      </c>
      <c r="D14" s="8" t="n">
        <v>3</v>
      </c>
      <c r="E14" s="9" t="s">
        <v>51</v>
      </c>
      <c r="F14" s="7" t="n">
        <v>0</v>
      </c>
      <c r="G14" s="7" t="s">
        <v>48</v>
      </c>
      <c r="H14" s="7" t="s">
        <v>48</v>
      </c>
      <c r="I14" s="7" t="s">
        <v>49</v>
      </c>
    </row>
    <row r="15" customFormat="false" ht="15" hidden="false" customHeight="false" outlineLevel="0" collapsed="false">
      <c r="A15" s="8" t="s">
        <v>44</v>
      </c>
      <c r="B15" s="8" t="s">
        <v>45</v>
      </c>
      <c r="C15" s="8" t="s">
        <v>55</v>
      </c>
      <c r="D15" s="8" t="n">
        <v>4</v>
      </c>
      <c r="E15" s="9" t="s">
        <v>52</v>
      </c>
      <c r="F15" s="7" t="n">
        <v>0</v>
      </c>
      <c r="G15" s="7" t="s">
        <v>48</v>
      </c>
      <c r="H15" s="7" t="s">
        <v>48</v>
      </c>
      <c r="I15" s="7" t="s">
        <v>49</v>
      </c>
    </row>
    <row r="16" customFormat="false" ht="15" hidden="false" customHeight="false" outlineLevel="0" collapsed="false">
      <c r="A16" s="8" t="s">
        <v>44</v>
      </c>
      <c r="B16" s="8" t="s">
        <v>45</v>
      </c>
      <c r="C16" s="8" t="s">
        <v>55</v>
      </c>
      <c r="D16" s="8" t="n">
        <v>5</v>
      </c>
      <c r="E16" s="9" t="s">
        <v>53</v>
      </c>
      <c r="F16" s="7" t="n">
        <v>0</v>
      </c>
      <c r="G16" s="7" t="s">
        <v>48</v>
      </c>
      <c r="H16" s="7" t="s">
        <v>48</v>
      </c>
      <c r="I16" s="7" t="s">
        <v>49</v>
      </c>
    </row>
    <row r="17" customFormat="false" ht="15" hidden="false" customHeight="false" outlineLevel="0" collapsed="false">
      <c r="A17" s="5" t="s">
        <v>44</v>
      </c>
      <c r="B17" s="5" t="s">
        <v>56</v>
      </c>
      <c r="C17" s="5" t="s">
        <v>46</v>
      </c>
      <c r="D17" s="5" t="n">
        <v>1</v>
      </c>
      <c r="E17" s="6" t="s">
        <v>47</v>
      </c>
      <c r="F17" s="7" t="n">
        <v>0</v>
      </c>
      <c r="G17" s="7" t="s">
        <v>48</v>
      </c>
      <c r="H17" s="7" t="s">
        <v>48</v>
      </c>
      <c r="I17" s="7" t="s">
        <v>49</v>
      </c>
    </row>
    <row r="18" customFormat="false" ht="15" hidden="false" customHeight="false" outlineLevel="0" collapsed="false">
      <c r="A18" s="5" t="s">
        <v>44</v>
      </c>
      <c r="B18" s="5" t="s">
        <v>56</v>
      </c>
      <c r="C18" s="5" t="s">
        <v>46</v>
      </c>
      <c r="D18" s="5" t="n">
        <v>2</v>
      </c>
      <c r="E18" s="6" t="s">
        <v>50</v>
      </c>
      <c r="F18" s="7" t="n">
        <v>0</v>
      </c>
      <c r="G18" s="7" t="s">
        <v>48</v>
      </c>
      <c r="H18" s="7" t="s">
        <v>48</v>
      </c>
      <c r="I18" s="7" t="s">
        <v>49</v>
      </c>
    </row>
    <row r="19" customFormat="false" ht="15" hidden="false" customHeight="false" outlineLevel="0" collapsed="false">
      <c r="A19" s="5" t="s">
        <v>44</v>
      </c>
      <c r="B19" s="5" t="s">
        <v>56</v>
      </c>
      <c r="C19" s="5" t="s">
        <v>46</v>
      </c>
      <c r="D19" s="5" t="n">
        <v>3</v>
      </c>
      <c r="E19" s="6" t="s">
        <v>51</v>
      </c>
      <c r="F19" s="7" t="n">
        <v>0</v>
      </c>
      <c r="G19" s="7" t="s">
        <v>48</v>
      </c>
      <c r="H19" s="7" t="s">
        <v>48</v>
      </c>
      <c r="I19" s="7" t="s">
        <v>49</v>
      </c>
    </row>
    <row r="20" customFormat="false" ht="15" hidden="false" customHeight="false" outlineLevel="0" collapsed="false">
      <c r="A20" s="5" t="s">
        <v>44</v>
      </c>
      <c r="B20" s="5" t="s">
        <v>56</v>
      </c>
      <c r="C20" s="5" t="s">
        <v>46</v>
      </c>
      <c r="D20" s="5" t="n">
        <v>4</v>
      </c>
      <c r="E20" s="6" t="s">
        <v>52</v>
      </c>
      <c r="F20" s="7" t="n">
        <v>0</v>
      </c>
      <c r="G20" s="7" t="s">
        <v>48</v>
      </c>
      <c r="H20" s="7" t="s">
        <v>48</v>
      </c>
      <c r="I20" s="7" t="s">
        <v>49</v>
      </c>
    </row>
    <row r="21" customFormat="false" ht="15" hidden="false" customHeight="false" outlineLevel="0" collapsed="false">
      <c r="A21" s="5" t="s">
        <v>44</v>
      </c>
      <c r="B21" s="5" t="s">
        <v>56</v>
      </c>
      <c r="C21" s="5" t="s">
        <v>46</v>
      </c>
      <c r="D21" s="5" t="n">
        <v>5</v>
      </c>
      <c r="E21" s="6" t="s">
        <v>53</v>
      </c>
      <c r="F21" s="7" t="n">
        <v>0</v>
      </c>
      <c r="G21" s="7" t="s">
        <v>48</v>
      </c>
      <c r="H21" s="7" t="s">
        <v>48</v>
      </c>
      <c r="I21" s="7" t="s">
        <v>49</v>
      </c>
    </row>
    <row r="22" customFormat="false" ht="15" hidden="false" customHeight="false" outlineLevel="0" collapsed="false">
      <c r="A22" s="8" t="s">
        <v>44</v>
      </c>
      <c r="B22" s="8" t="s">
        <v>56</v>
      </c>
      <c r="C22" s="8" t="s">
        <v>54</v>
      </c>
      <c r="D22" s="8" t="n">
        <v>1</v>
      </c>
      <c r="E22" s="9" t="s">
        <v>47</v>
      </c>
      <c r="F22" s="7" t="n">
        <v>0</v>
      </c>
      <c r="G22" s="7" t="s">
        <v>48</v>
      </c>
      <c r="H22" s="7" t="s">
        <v>48</v>
      </c>
      <c r="I22" s="7" t="s">
        <v>49</v>
      </c>
    </row>
    <row r="23" customFormat="false" ht="15" hidden="false" customHeight="false" outlineLevel="0" collapsed="false">
      <c r="A23" s="8" t="s">
        <v>44</v>
      </c>
      <c r="B23" s="8" t="s">
        <v>56</v>
      </c>
      <c r="C23" s="8" t="s">
        <v>54</v>
      </c>
      <c r="D23" s="8" t="n">
        <v>2</v>
      </c>
      <c r="E23" s="9" t="s">
        <v>50</v>
      </c>
      <c r="F23" s="7" t="n">
        <v>0</v>
      </c>
      <c r="G23" s="7" t="s">
        <v>48</v>
      </c>
      <c r="H23" s="7" t="s">
        <v>48</v>
      </c>
      <c r="I23" s="7" t="s">
        <v>49</v>
      </c>
    </row>
    <row r="24" customFormat="false" ht="15" hidden="false" customHeight="false" outlineLevel="0" collapsed="false">
      <c r="A24" s="8" t="s">
        <v>44</v>
      </c>
      <c r="B24" s="8" t="s">
        <v>56</v>
      </c>
      <c r="C24" s="8" t="s">
        <v>54</v>
      </c>
      <c r="D24" s="8" t="n">
        <v>3</v>
      </c>
      <c r="E24" s="9" t="s">
        <v>51</v>
      </c>
      <c r="F24" s="7" t="n">
        <v>0</v>
      </c>
      <c r="G24" s="7" t="s">
        <v>48</v>
      </c>
      <c r="H24" s="7" t="s">
        <v>48</v>
      </c>
      <c r="I24" s="7" t="s">
        <v>49</v>
      </c>
    </row>
    <row r="25" customFormat="false" ht="15" hidden="false" customHeight="false" outlineLevel="0" collapsed="false">
      <c r="A25" s="8" t="s">
        <v>44</v>
      </c>
      <c r="B25" s="8" t="s">
        <v>56</v>
      </c>
      <c r="C25" s="8" t="s">
        <v>54</v>
      </c>
      <c r="D25" s="8" t="n">
        <v>4</v>
      </c>
      <c r="E25" s="9" t="s">
        <v>52</v>
      </c>
      <c r="F25" s="7" t="n">
        <v>0</v>
      </c>
      <c r="G25" s="7" t="s">
        <v>48</v>
      </c>
      <c r="H25" s="7" t="s">
        <v>48</v>
      </c>
      <c r="I25" s="7" t="s">
        <v>49</v>
      </c>
    </row>
    <row r="26" customFormat="false" ht="15" hidden="false" customHeight="false" outlineLevel="0" collapsed="false">
      <c r="A26" s="8" t="s">
        <v>44</v>
      </c>
      <c r="B26" s="8" t="s">
        <v>56</v>
      </c>
      <c r="C26" s="8" t="s">
        <v>54</v>
      </c>
      <c r="D26" s="8" t="n">
        <v>5</v>
      </c>
      <c r="E26" s="9" t="s">
        <v>53</v>
      </c>
      <c r="F26" s="7" t="n">
        <v>0</v>
      </c>
      <c r="G26" s="7" t="s">
        <v>48</v>
      </c>
      <c r="H26" s="7" t="s">
        <v>48</v>
      </c>
      <c r="I26" s="7" t="s">
        <v>49</v>
      </c>
    </row>
    <row r="27" customFormat="false" ht="15" hidden="false" customHeight="false" outlineLevel="0" collapsed="false">
      <c r="A27" s="8" t="s">
        <v>44</v>
      </c>
      <c r="B27" s="8" t="s">
        <v>56</v>
      </c>
      <c r="C27" s="8" t="s">
        <v>55</v>
      </c>
      <c r="D27" s="8" t="n">
        <v>1</v>
      </c>
      <c r="E27" s="9" t="s">
        <v>47</v>
      </c>
      <c r="F27" s="7" t="n">
        <v>0</v>
      </c>
      <c r="G27" s="7" t="s">
        <v>48</v>
      </c>
      <c r="H27" s="7" t="s">
        <v>48</v>
      </c>
      <c r="I27" s="7" t="s">
        <v>49</v>
      </c>
    </row>
    <row r="28" customFormat="false" ht="15" hidden="false" customHeight="false" outlineLevel="0" collapsed="false">
      <c r="A28" s="8" t="s">
        <v>44</v>
      </c>
      <c r="B28" s="8" t="s">
        <v>56</v>
      </c>
      <c r="C28" s="8" t="s">
        <v>55</v>
      </c>
      <c r="D28" s="8" t="n">
        <v>2</v>
      </c>
      <c r="E28" s="9" t="s">
        <v>50</v>
      </c>
      <c r="F28" s="7" t="n">
        <v>0</v>
      </c>
      <c r="G28" s="7" t="s">
        <v>48</v>
      </c>
      <c r="H28" s="7" t="s">
        <v>48</v>
      </c>
      <c r="I28" s="7" t="s">
        <v>49</v>
      </c>
    </row>
    <row r="29" customFormat="false" ht="15" hidden="false" customHeight="false" outlineLevel="0" collapsed="false">
      <c r="A29" s="8" t="s">
        <v>44</v>
      </c>
      <c r="B29" s="8" t="s">
        <v>56</v>
      </c>
      <c r="C29" s="8" t="s">
        <v>55</v>
      </c>
      <c r="D29" s="8" t="n">
        <v>3</v>
      </c>
      <c r="E29" s="9" t="s">
        <v>51</v>
      </c>
      <c r="F29" s="7" t="n">
        <v>0</v>
      </c>
      <c r="G29" s="7" t="s">
        <v>48</v>
      </c>
      <c r="H29" s="7" t="s">
        <v>48</v>
      </c>
      <c r="I29" s="7" t="s">
        <v>49</v>
      </c>
    </row>
    <row r="30" customFormat="false" ht="15" hidden="false" customHeight="false" outlineLevel="0" collapsed="false">
      <c r="A30" s="8" t="s">
        <v>44</v>
      </c>
      <c r="B30" s="8" t="s">
        <v>56</v>
      </c>
      <c r="C30" s="8" t="s">
        <v>55</v>
      </c>
      <c r="D30" s="8" t="n">
        <v>4</v>
      </c>
      <c r="E30" s="9" t="s">
        <v>52</v>
      </c>
      <c r="F30" s="7" t="n">
        <v>0</v>
      </c>
      <c r="G30" s="7" t="s">
        <v>48</v>
      </c>
      <c r="H30" s="7" t="s">
        <v>48</v>
      </c>
      <c r="I30" s="7" t="s">
        <v>49</v>
      </c>
    </row>
    <row r="31" customFormat="false" ht="15" hidden="false" customHeight="false" outlineLevel="0" collapsed="false">
      <c r="A31" s="8" t="s">
        <v>44</v>
      </c>
      <c r="B31" s="8" t="s">
        <v>56</v>
      </c>
      <c r="C31" s="8" t="s">
        <v>55</v>
      </c>
      <c r="D31" s="8" t="n">
        <v>5</v>
      </c>
      <c r="E31" s="9" t="s">
        <v>53</v>
      </c>
      <c r="F31" s="7" t="n">
        <v>0</v>
      </c>
      <c r="G31" s="7" t="s">
        <v>48</v>
      </c>
      <c r="H31" s="7" t="s">
        <v>48</v>
      </c>
      <c r="I31" s="7" t="s">
        <v>49</v>
      </c>
    </row>
    <row r="32" customFormat="false" ht="15" hidden="false" customHeight="false" outlineLevel="0" collapsed="false">
      <c r="A32" s="5" t="s">
        <v>57</v>
      </c>
      <c r="B32" s="5" t="s">
        <v>45</v>
      </c>
      <c r="C32" s="5" t="s">
        <v>46</v>
      </c>
      <c r="D32" s="5" t="n">
        <v>1</v>
      </c>
      <c r="E32" s="6" t="s">
        <v>58</v>
      </c>
      <c r="F32" s="7" t="n">
        <v>0</v>
      </c>
      <c r="G32" s="7" t="s">
        <v>48</v>
      </c>
      <c r="H32" s="7" t="s">
        <v>48</v>
      </c>
      <c r="I32" s="7" t="s">
        <v>49</v>
      </c>
    </row>
    <row r="33" customFormat="false" ht="15" hidden="false" customHeight="false" outlineLevel="0" collapsed="false">
      <c r="A33" s="5" t="s">
        <v>57</v>
      </c>
      <c r="B33" s="5" t="s">
        <v>45</v>
      </c>
      <c r="C33" s="5" t="s">
        <v>46</v>
      </c>
      <c r="D33" s="5" t="n">
        <v>2</v>
      </c>
      <c r="E33" s="6" t="s">
        <v>50</v>
      </c>
      <c r="F33" s="7" t="n">
        <v>0</v>
      </c>
      <c r="G33" s="7" t="s">
        <v>48</v>
      </c>
      <c r="H33" s="7" t="s">
        <v>48</v>
      </c>
      <c r="I33" s="7" t="s">
        <v>49</v>
      </c>
    </row>
    <row r="34" customFormat="false" ht="15" hidden="false" customHeight="false" outlineLevel="0" collapsed="false">
      <c r="A34" s="5" t="s">
        <v>57</v>
      </c>
      <c r="B34" s="5" t="s">
        <v>45</v>
      </c>
      <c r="C34" s="5" t="s">
        <v>46</v>
      </c>
      <c r="D34" s="5" t="n">
        <v>3</v>
      </c>
      <c r="E34" s="6" t="s">
        <v>51</v>
      </c>
      <c r="F34" s="7" t="n">
        <v>0</v>
      </c>
      <c r="G34" s="7" t="s">
        <v>48</v>
      </c>
      <c r="H34" s="7" t="s">
        <v>48</v>
      </c>
      <c r="I34" s="7" t="s">
        <v>49</v>
      </c>
    </row>
    <row r="35" customFormat="false" ht="15" hidden="false" customHeight="false" outlineLevel="0" collapsed="false">
      <c r="A35" s="5" t="s">
        <v>57</v>
      </c>
      <c r="B35" s="5" t="s">
        <v>45</v>
      </c>
      <c r="C35" s="5" t="s">
        <v>46</v>
      </c>
      <c r="D35" s="5" t="n">
        <v>4</v>
      </c>
      <c r="E35" s="6" t="s">
        <v>52</v>
      </c>
      <c r="F35" s="7" t="n">
        <v>0</v>
      </c>
      <c r="G35" s="7" t="s">
        <v>48</v>
      </c>
      <c r="H35" s="7" t="s">
        <v>48</v>
      </c>
      <c r="I35" s="7" t="s">
        <v>49</v>
      </c>
    </row>
    <row r="36" customFormat="false" ht="15" hidden="false" customHeight="false" outlineLevel="0" collapsed="false">
      <c r="A36" s="5" t="s">
        <v>57</v>
      </c>
      <c r="B36" s="5" t="s">
        <v>45</v>
      </c>
      <c r="C36" s="5" t="s">
        <v>46</v>
      </c>
      <c r="D36" s="5" t="n">
        <v>5</v>
      </c>
      <c r="E36" s="6" t="s">
        <v>53</v>
      </c>
      <c r="F36" s="7" t="n">
        <v>0</v>
      </c>
      <c r="G36" s="7" t="s">
        <v>48</v>
      </c>
      <c r="H36" s="7" t="s">
        <v>48</v>
      </c>
      <c r="I36" s="7" t="s">
        <v>49</v>
      </c>
    </row>
    <row r="37" customFormat="false" ht="15" hidden="false" customHeight="false" outlineLevel="0" collapsed="false">
      <c r="A37" s="8" t="s">
        <v>57</v>
      </c>
      <c r="B37" s="8" t="s">
        <v>45</v>
      </c>
      <c r="C37" s="8" t="s">
        <v>54</v>
      </c>
      <c r="D37" s="8" t="n">
        <v>1</v>
      </c>
      <c r="E37" s="9" t="s">
        <v>58</v>
      </c>
      <c r="F37" s="7" t="n">
        <v>0</v>
      </c>
      <c r="G37" s="7" t="s">
        <v>48</v>
      </c>
      <c r="H37" s="7" t="s">
        <v>48</v>
      </c>
      <c r="I37" s="7" t="s">
        <v>49</v>
      </c>
    </row>
    <row r="38" customFormat="false" ht="15" hidden="false" customHeight="false" outlineLevel="0" collapsed="false">
      <c r="A38" s="8" t="s">
        <v>57</v>
      </c>
      <c r="B38" s="8" t="s">
        <v>45</v>
      </c>
      <c r="C38" s="8" t="s">
        <v>54</v>
      </c>
      <c r="D38" s="8" t="n">
        <v>2</v>
      </c>
      <c r="E38" s="9" t="s">
        <v>50</v>
      </c>
      <c r="F38" s="7" t="n">
        <v>0</v>
      </c>
      <c r="G38" s="7" t="s">
        <v>48</v>
      </c>
      <c r="H38" s="7" t="s">
        <v>48</v>
      </c>
      <c r="I38" s="7" t="s">
        <v>49</v>
      </c>
    </row>
    <row r="39" customFormat="false" ht="15" hidden="false" customHeight="false" outlineLevel="0" collapsed="false">
      <c r="A39" s="8" t="s">
        <v>57</v>
      </c>
      <c r="B39" s="8" t="s">
        <v>45</v>
      </c>
      <c r="C39" s="8" t="s">
        <v>54</v>
      </c>
      <c r="D39" s="8" t="n">
        <v>3</v>
      </c>
      <c r="E39" s="9" t="s">
        <v>51</v>
      </c>
      <c r="F39" s="7" t="n">
        <v>0</v>
      </c>
      <c r="G39" s="7" t="s">
        <v>48</v>
      </c>
      <c r="H39" s="7" t="s">
        <v>48</v>
      </c>
      <c r="I39" s="7" t="s">
        <v>49</v>
      </c>
    </row>
    <row r="40" customFormat="false" ht="15" hidden="false" customHeight="false" outlineLevel="0" collapsed="false">
      <c r="A40" s="8" t="s">
        <v>57</v>
      </c>
      <c r="B40" s="8" t="s">
        <v>45</v>
      </c>
      <c r="C40" s="8" t="s">
        <v>54</v>
      </c>
      <c r="D40" s="8" t="n">
        <v>4</v>
      </c>
      <c r="E40" s="9" t="s">
        <v>52</v>
      </c>
      <c r="F40" s="7" t="n">
        <v>0</v>
      </c>
      <c r="G40" s="7" t="s">
        <v>48</v>
      </c>
      <c r="H40" s="7" t="s">
        <v>48</v>
      </c>
      <c r="I40" s="7" t="s">
        <v>49</v>
      </c>
    </row>
    <row r="41" customFormat="false" ht="15" hidden="false" customHeight="false" outlineLevel="0" collapsed="false">
      <c r="A41" s="8" t="s">
        <v>57</v>
      </c>
      <c r="B41" s="8" t="s">
        <v>45</v>
      </c>
      <c r="C41" s="8" t="s">
        <v>54</v>
      </c>
      <c r="D41" s="8" t="n">
        <v>5</v>
      </c>
      <c r="E41" s="9" t="s">
        <v>53</v>
      </c>
      <c r="F41" s="7" t="n">
        <v>0</v>
      </c>
      <c r="G41" s="7" t="s">
        <v>48</v>
      </c>
      <c r="H41" s="7" t="s">
        <v>48</v>
      </c>
      <c r="I41" s="7" t="s">
        <v>49</v>
      </c>
    </row>
    <row r="42" customFormat="false" ht="15" hidden="false" customHeight="false" outlineLevel="0" collapsed="false">
      <c r="A42" s="8" t="s">
        <v>57</v>
      </c>
      <c r="B42" s="8" t="s">
        <v>45</v>
      </c>
      <c r="C42" s="8" t="s">
        <v>55</v>
      </c>
      <c r="D42" s="8" t="n">
        <v>1</v>
      </c>
      <c r="E42" s="9" t="s">
        <v>58</v>
      </c>
      <c r="F42" s="7" t="n">
        <v>0</v>
      </c>
      <c r="G42" s="7" t="s">
        <v>48</v>
      </c>
      <c r="H42" s="7" t="s">
        <v>48</v>
      </c>
      <c r="I42" s="7" t="s">
        <v>49</v>
      </c>
    </row>
    <row r="43" customFormat="false" ht="15" hidden="false" customHeight="false" outlineLevel="0" collapsed="false">
      <c r="A43" s="8" t="s">
        <v>57</v>
      </c>
      <c r="B43" s="8" t="s">
        <v>45</v>
      </c>
      <c r="C43" s="8" t="s">
        <v>55</v>
      </c>
      <c r="D43" s="8" t="n">
        <v>2</v>
      </c>
      <c r="E43" s="9" t="s">
        <v>50</v>
      </c>
      <c r="F43" s="7" t="n">
        <v>0</v>
      </c>
      <c r="G43" s="7" t="s">
        <v>48</v>
      </c>
      <c r="H43" s="7" t="s">
        <v>48</v>
      </c>
      <c r="I43" s="7" t="s">
        <v>49</v>
      </c>
    </row>
    <row r="44" customFormat="false" ht="15" hidden="false" customHeight="false" outlineLevel="0" collapsed="false">
      <c r="A44" s="8" t="s">
        <v>57</v>
      </c>
      <c r="B44" s="8" t="s">
        <v>45</v>
      </c>
      <c r="C44" s="8" t="s">
        <v>55</v>
      </c>
      <c r="D44" s="8" t="n">
        <v>3</v>
      </c>
      <c r="E44" s="9" t="s">
        <v>51</v>
      </c>
      <c r="F44" s="7" t="n">
        <v>0</v>
      </c>
      <c r="G44" s="7" t="s">
        <v>48</v>
      </c>
      <c r="H44" s="7" t="s">
        <v>48</v>
      </c>
      <c r="I44" s="7" t="s">
        <v>49</v>
      </c>
    </row>
    <row r="45" customFormat="false" ht="15" hidden="false" customHeight="false" outlineLevel="0" collapsed="false">
      <c r="A45" s="8" t="s">
        <v>57</v>
      </c>
      <c r="B45" s="8" t="s">
        <v>45</v>
      </c>
      <c r="C45" s="8" t="s">
        <v>55</v>
      </c>
      <c r="D45" s="8" t="n">
        <v>4</v>
      </c>
      <c r="E45" s="9" t="s">
        <v>52</v>
      </c>
      <c r="F45" s="7" t="n">
        <v>0</v>
      </c>
      <c r="G45" s="7" t="s">
        <v>48</v>
      </c>
      <c r="H45" s="7" t="s">
        <v>48</v>
      </c>
      <c r="I45" s="7" t="s">
        <v>49</v>
      </c>
    </row>
    <row r="46" customFormat="false" ht="15" hidden="false" customHeight="false" outlineLevel="0" collapsed="false">
      <c r="A46" s="8" t="s">
        <v>57</v>
      </c>
      <c r="B46" s="8" t="s">
        <v>45</v>
      </c>
      <c r="C46" s="8" t="s">
        <v>55</v>
      </c>
      <c r="D46" s="8" t="n">
        <v>5</v>
      </c>
      <c r="E46" s="9" t="s">
        <v>53</v>
      </c>
      <c r="F46" s="7" t="n">
        <v>0</v>
      </c>
      <c r="G46" s="7" t="s">
        <v>48</v>
      </c>
      <c r="H46" s="7" t="s">
        <v>48</v>
      </c>
      <c r="I46" s="7" t="s">
        <v>49</v>
      </c>
    </row>
    <row r="47" customFormat="false" ht="15" hidden="false" customHeight="false" outlineLevel="0" collapsed="false">
      <c r="A47" s="5" t="s">
        <v>57</v>
      </c>
      <c r="B47" s="5" t="s">
        <v>56</v>
      </c>
      <c r="C47" s="5" t="s">
        <v>46</v>
      </c>
      <c r="D47" s="5" t="n">
        <v>1</v>
      </c>
      <c r="E47" s="6" t="s">
        <v>58</v>
      </c>
      <c r="F47" s="7" t="n">
        <v>0</v>
      </c>
      <c r="G47" s="7" t="s">
        <v>48</v>
      </c>
      <c r="H47" s="7" t="s">
        <v>48</v>
      </c>
      <c r="I47" s="7" t="s">
        <v>49</v>
      </c>
    </row>
    <row r="48" customFormat="false" ht="15" hidden="false" customHeight="false" outlineLevel="0" collapsed="false">
      <c r="A48" s="5" t="s">
        <v>57</v>
      </c>
      <c r="B48" s="5" t="s">
        <v>56</v>
      </c>
      <c r="C48" s="5" t="s">
        <v>46</v>
      </c>
      <c r="D48" s="5" t="n">
        <v>2</v>
      </c>
      <c r="E48" s="6" t="s">
        <v>50</v>
      </c>
      <c r="F48" s="7" t="n">
        <v>0</v>
      </c>
      <c r="G48" s="7" t="s">
        <v>48</v>
      </c>
      <c r="H48" s="7" t="s">
        <v>48</v>
      </c>
      <c r="I48" s="7" t="s">
        <v>49</v>
      </c>
    </row>
    <row r="49" customFormat="false" ht="15" hidden="false" customHeight="false" outlineLevel="0" collapsed="false">
      <c r="A49" s="5" t="s">
        <v>57</v>
      </c>
      <c r="B49" s="5" t="s">
        <v>56</v>
      </c>
      <c r="C49" s="5" t="s">
        <v>46</v>
      </c>
      <c r="D49" s="5" t="n">
        <v>3</v>
      </c>
      <c r="E49" s="6" t="s">
        <v>51</v>
      </c>
      <c r="F49" s="7" t="n">
        <v>0</v>
      </c>
      <c r="G49" s="7" t="s">
        <v>48</v>
      </c>
      <c r="H49" s="7" t="s">
        <v>48</v>
      </c>
      <c r="I49" s="7" t="s">
        <v>49</v>
      </c>
    </row>
    <row r="50" customFormat="false" ht="15" hidden="false" customHeight="false" outlineLevel="0" collapsed="false">
      <c r="A50" s="5" t="s">
        <v>57</v>
      </c>
      <c r="B50" s="5" t="s">
        <v>56</v>
      </c>
      <c r="C50" s="5" t="s">
        <v>46</v>
      </c>
      <c r="D50" s="5" t="n">
        <v>4</v>
      </c>
      <c r="E50" s="6" t="s">
        <v>52</v>
      </c>
      <c r="F50" s="7" t="n">
        <v>0</v>
      </c>
      <c r="G50" s="7" t="s">
        <v>48</v>
      </c>
      <c r="H50" s="7" t="s">
        <v>48</v>
      </c>
      <c r="I50" s="7" t="s">
        <v>49</v>
      </c>
    </row>
    <row r="51" customFormat="false" ht="15" hidden="false" customHeight="false" outlineLevel="0" collapsed="false">
      <c r="A51" s="5" t="s">
        <v>57</v>
      </c>
      <c r="B51" s="5" t="s">
        <v>56</v>
      </c>
      <c r="C51" s="5" t="s">
        <v>46</v>
      </c>
      <c r="D51" s="5" t="n">
        <v>5</v>
      </c>
      <c r="E51" s="6" t="s">
        <v>53</v>
      </c>
      <c r="F51" s="7" t="n">
        <v>0</v>
      </c>
      <c r="G51" s="7" t="s">
        <v>48</v>
      </c>
      <c r="H51" s="7" t="s">
        <v>48</v>
      </c>
      <c r="I51" s="7" t="s">
        <v>49</v>
      </c>
    </row>
    <row r="52" customFormat="false" ht="15" hidden="false" customHeight="false" outlineLevel="0" collapsed="false">
      <c r="A52" s="8" t="s">
        <v>57</v>
      </c>
      <c r="B52" s="8" t="s">
        <v>56</v>
      </c>
      <c r="C52" s="8" t="s">
        <v>54</v>
      </c>
      <c r="D52" s="8" t="n">
        <v>1</v>
      </c>
      <c r="E52" s="9" t="s">
        <v>58</v>
      </c>
      <c r="F52" s="7" t="n">
        <v>0</v>
      </c>
      <c r="G52" s="7" t="s">
        <v>48</v>
      </c>
      <c r="H52" s="7" t="s">
        <v>48</v>
      </c>
      <c r="I52" s="7" t="s">
        <v>49</v>
      </c>
    </row>
    <row r="53" customFormat="false" ht="15" hidden="false" customHeight="false" outlineLevel="0" collapsed="false">
      <c r="A53" s="8" t="s">
        <v>57</v>
      </c>
      <c r="B53" s="8" t="s">
        <v>56</v>
      </c>
      <c r="C53" s="8" t="s">
        <v>54</v>
      </c>
      <c r="D53" s="8" t="n">
        <v>2</v>
      </c>
      <c r="E53" s="9" t="s">
        <v>50</v>
      </c>
      <c r="F53" s="7" t="n">
        <v>0</v>
      </c>
      <c r="G53" s="7" t="s">
        <v>48</v>
      </c>
      <c r="H53" s="7" t="s">
        <v>48</v>
      </c>
      <c r="I53" s="7" t="s">
        <v>49</v>
      </c>
    </row>
    <row r="54" customFormat="false" ht="15" hidden="false" customHeight="false" outlineLevel="0" collapsed="false">
      <c r="A54" s="8" t="s">
        <v>57</v>
      </c>
      <c r="B54" s="8" t="s">
        <v>56</v>
      </c>
      <c r="C54" s="8" t="s">
        <v>54</v>
      </c>
      <c r="D54" s="8" t="n">
        <v>3</v>
      </c>
      <c r="E54" s="9" t="s">
        <v>51</v>
      </c>
      <c r="F54" s="7" t="n">
        <v>0</v>
      </c>
      <c r="G54" s="7" t="s">
        <v>48</v>
      </c>
      <c r="H54" s="7" t="s">
        <v>48</v>
      </c>
      <c r="I54" s="7" t="s">
        <v>49</v>
      </c>
    </row>
    <row r="55" customFormat="false" ht="15" hidden="false" customHeight="false" outlineLevel="0" collapsed="false">
      <c r="A55" s="8" t="s">
        <v>57</v>
      </c>
      <c r="B55" s="8" t="s">
        <v>56</v>
      </c>
      <c r="C55" s="8" t="s">
        <v>54</v>
      </c>
      <c r="D55" s="8" t="n">
        <v>4</v>
      </c>
      <c r="E55" s="9" t="s">
        <v>52</v>
      </c>
      <c r="F55" s="7" t="n">
        <v>0</v>
      </c>
      <c r="G55" s="7" t="s">
        <v>48</v>
      </c>
      <c r="H55" s="7" t="s">
        <v>48</v>
      </c>
      <c r="I55" s="7" t="s">
        <v>49</v>
      </c>
    </row>
    <row r="56" customFormat="false" ht="15" hidden="false" customHeight="false" outlineLevel="0" collapsed="false">
      <c r="A56" s="8" t="s">
        <v>57</v>
      </c>
      <c r="B56" s="8" t="s">
        <v>56</v>
      </c>
      <c r="C56" s="8" t="s">
        <v>54</v>
      </c>
      <c r="D56" s="8" t="n">
        <v>5</v>
      </c>
      <c r="E56" s="9" t="s">
        <v>53</v>
      </c>
      <c r="F56" s="7" t="n">
        <v>0</v>
      </c>
      <c r="G56" s="7" t="s">
        <v>48</v>
      </c>
      <c r="H56" s="7" t="s">
        <v>48</v>
      </c>
      <c r="I56" s="7" t="s">
        <v>49</v>
      </c>
    </row>
    <row r="57" customFormat="false" ht="15" hidden="false" customHeight="false" outlineLevel="0" collapsed="false">
      <c r="A57" s="8" t="s">
        <v>57</v>
      </c>
      <c r="B57" s="8" t="s">
        <v>56</v>
      </c>
      <c r="C57" s="8" t="s">
        <v>55</v>
      </c>
      <c r="D57" s="8" t="n">
        <v>1</v>
      </c>
      <c r="E57" s="9" t="s">
        <v>58</v>
      </c>
      <c r="F57" s="7" t="n">
        <v>0</v>
      </c>
      <c r="G57" s="7" t="s">
        <v>48</v>
      </c>
      <c r="H57" s="7" t="s">
        <v>48</v>
      </c>
      <c r="I57" s="7" t="s">
        <v>49</v>
      </c>
    </row>
    <row r="58" customFormat="false" ht="15" hidden="false" customHeight="false" outlineLevel="0" collapsed="false">
      <c r="A58" s="8" t="s">
        <v>57</v>
      </c>
      <c r="B58" s="8" t="s">
        <v>56</v>
      </c>
      <c r="C58" s="8" t="s">
        <v>55</v>
      </c>
      <c r="D58" s="8" t="n">
        <v>2</v>
      </c>
      <c r="E58" s="9" t="s">
        <v>50</v>
      </c>
      <c r="F58" s="7" t="n">
        <v>0</v>
      </c>
      <c r="G58" s="7" t="s">
        <v>48</v>
      </c>
      <c r="H58" s="7" t="s">
        <v>48</v>
      </c>
      <c r="I58" s="7" t="s">
        <v>49</v>
      </c>
    </row>
    <row r="59" customFormat="false" ht="15" hidden="false" customHeight="false" outlineLevel="0" collapsed="false">
      <c r="A59" s="8" t="s">
        <v>57</v>
      </c>
      <c r="B59" s="8" t="s">
        <v>56</v>
      </c>
      <c r="C59" s="8" t="s">
        <v>55</v>
      </c>
      <c r="D59" s="8" t="n">
        <v>3</v>
      </c>
      <c r="E59" s="9" t="s">
        <v>51</v>
      </c>
      <c r="F59" s="7" t="n">
        <v>0</v>
      </c>
      <c r="G59" s="7" t="s">
        <v>48</v>
      </c>
      <c r="H59" s="7" t="s">
        <v>48</v>
      </c>
      <c r="I59" s="7" t="s">
        <v>49</v>
      </c>
    </row>
    <row r="60" customFormat="false" ht="15" hidden="false" customHeight="false" outlineLevel="0" collapsed="false">
      <c r="A60" s="8" t="s">
        <v>57</v>
      </c>
      <c r="B60" s="8" t="s">
        <v>56</v>
      </c>
      <c r="C60" s="8" t="s">
        <v>55</v>
      </c>
      <c r="D60" s="8" t="n">
        <v>4</v>
      </c>
      <c r="E60" s="9" t="s">
        <v>52</v>
      </c>
      <c r="F60" s="7" t="n">
        <v>0</v>
      </c>
      <c r="G60" s="7" t="s">
        <v>48</v>
      </c>
      <c r="H60" s="7" t="s">
        <v>48</v>
      </c>
      <c r="I60" s="7" t="s">
        <v>49</v>
      </c>
    </row>
    <row r="61" customFormat="false" ht="15" hidden="false" customHeight="false" outlineLevel="0" collapsed="false">
      <c r="A61" s="8" t="s">
        <v>57</v>
      </c>
      <c r="B61" s="8" t="s">
        <v>56</v>
      </c>
      <c r="C61" s="8" t="s">
        <v>55</v>
      </c>
      <c r="D61" s="8" t="n">
        <v>5</v>
      </c>
      <c r="E61" s="9" t="s">
        <v>53</v>
      </c>
      <c r="F61" s="7" t="n">
        <v>0</v>
      </c>
      <c r="G61" s="7" t="s">
        <v>48</v>
      </c>
      <c r="H61" s="7" t="s">
        <v>48</v>
      </c>
      <c r="I61" s="7" t="s">
        <v>49</v>
      </c>
    </row>
  </sheetData>
  <autoFilter ref="A1:I61"/>
  <dataValidations count="3">
    <dataValidation allowBlank="false" error="Progress is tracked in 10% zones. Pick a value from the list." errorStyle="stop" errorTitle="Whole tens only" operator="between" showDropDown="false" showErrorMessage="true" showInputMessage="false" sqref="F2:F61" type="list">
      <formula1>"0,10,20,30,40,50,60,70,80,90,100"</formula1>
      <formula2>0</formula2>
    </dataValidation>
    <dataValidation allowBlank="false" error="Use: not started, in review, or processed." errorStyle="stop" errorTitle="Pick a feedback state" operator="between" showDropDown="false" showErrorMessage="true" showInputMessage="false" sqref="G2:H61" type="list">
      <formula1>"not started,in review,processed"</formula1>
      <formula2>0</formula2>
    </dataValidation>
    <dataValidation allowBlank="false" errorStyle="stop" errorTitle="yes or no" operator="between" showDropDown="false" showErrorMessage="true" showInputMessage="false" sqref="I2:I6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</cols>
  <sheetData>
    <row r="1" customFormat="false" ht="27.75" hidden="false" customHeight="true" outlineLevel="0" collapsed="false">
      <c r="A1" s="4" t="s">
        <v>35</v>
      </c>
      <c r="B1" s="4" t="s">
        <v>36</v>
      </c>
      <c r="C1" s="4" t="s">
        <v>38</v>
      </c>
      <c r="D1" s="4" t="s">
        <v>39</v>
      </c>
      <c r="E1" s="4" t="s">
        <v>59</v>
      </c>
    </row>
    <row r="2" customFormat="false" ht="15" hidden="false" customHeight="false" outlineLevel="0" collapsed="false">
      <c r="A2" s="8" t="s">
        <v>44</v>
      </c>
      <c r="B2" s="8" t="s">
        <v>45</v>
      </c>
      <c r="C2" s="8" t="n">
        <v>1</v>
      </c>
      <c r="D2" s="9" t="s">
        <v>47</v>
      </c>
      <c r="E2" s="7" t="n">
        <v>0</v>
      </c>
    </row>
    <row r="3" customFormat="false" ht="15" hidden="false" customHeight="false" outlineLevel="0" collapsed="false">
      <c r="A3" s="8" t="s">
        <v>44</v>
      </c>
      <c r="B3" s="8" t="s">
        <v>45</v>
      </c>
      <c r="C3" s="8" t="n">
        <v>2</v>
      </c>
      <c r="D3" s="9" t="s">
        <v>50</v>
      </c>
      <c r="E3" s="7" t="n">
        <v>0</v>
      </c>
    </row>
    <row r="4" customFormat="false" ht="15" hidden="false" customHeight="false" outlineLevel="0" collapsed="false">
      <c r="A4" s="8" t="s">
        <v>44</v>
      </c>
      <c r="B4" s="8" t="s">
        <v>45</v>
      </c>
      <c r="C4" s="8" t="n">
        <v>3</v>
      </c>
      <c r="D4" s="9" t="s">
        <v>51</v>
      </c>
      <c r="E4" s="7" t="n">
        <v>0</v>
      </c>
    </row>
    <row r="5" customFormat="false" ht="15" hidden="false" customHeight="false" outlineLevel="0" collapsed="false">
      <c r="A5" s="8" t="s">
        <v>44</v>
      </c>
      <c r="B5" s="8" t="s">
        <v>45</v>
      </c>
      <c r="C5" s="8" t="n">
        <v>4</v>
      </c>
      <c r="D5" s="9" t="s">
        <v>52</v>
      </c>
      <c r="E5" s="7" t="n">
        <v>0</v>
      </c>
    </row>
    <row r="6" customFormat="false" ht="15" hidden="false" customHeight="false" outlineLevel="0" collapsed="false">
      <c r="A6" s="8" t="s">
        <v>44</v>
      </c>
      <c r="B6" s="8" t="s">
        <v>45</v>
      </c>
      <c r="C6" s="8" t="n">
        <v>5</v>
      </c>
      <c r="D6" s="9" t="s">
        <v>53</v>
      </c>
      <c r="E6" s="7" t="n">
        <v>0</v>
      </c>
    </row>
    <row r="7" customFormat="false" ht="15" hidden="false" customHeight="false" outlineLevel="0" collapsed="false">
      <c r="A7" s="8" t="s">
        <v>44</v>
      </c>
      <c r="B7" s="8" t="s">
        <v>56</v>
      </c>
      <c r="C7" s="8" t="n">
        <v>1</v>
      </c>
      <c r="D7" s="9" t="s">
        <v>47</v>
      </c>
      <c r="E7" s="7" t="n">
        <v>0</v>
      </c>
    </row>
    <row r="8" customFormat="false" ht="15" hidden="false" customHeight="false" outlineLevel="0" collapsed="false">
      <c r="A8" s="8" t="s">
        <v>44</v>
      </c>
      <c r="B8" s="8" t="s">
        <v>56</v>
      </c>
      <c r="C8" s="8" t="n">
        <v>2</v>
      </c>
      <c r="D8" s="9" t="s">
        <v>50</v>
      </c>
      <c r="E8" s="7" t="n">
        <v>0</v>
      </c>
    </row>
    <row r="9" customFormat="false" ht="15" hidden="false" customHeight="false" outlineLevel="0" collapsed="false">
      <c r="A9" s="8" t="s">
        <v>44</v>
      </c>
      <c r="B9" s="8" t="s">
        <v>56</v>
      </c>
      <c r="C9" s="8" t="n">
        <v>3</v>
      </c>
      <c r="D9" s="9" t="s">
        <v>51</v>
      </c>
      <c r="E9" s="7" t="n">
        <v>0</v>
      </c>
    </row>
    <row r="10" customFormat="false" ht="15" hidden="false" customHeight="false" outlineLevel="0" collapsed="false">
      <c r="A10" s="8" t="s">
        <v>44</v>
      </c>
      <c r="B10" s="8" t="s">
        <v>56</v>
      </c>
      <c r="C10" s="8" t="n">
        <v>4</v>
      </c>
      <c r="D10" s="9" t="s">
        <v>52</v>
      </c>
      <c r="E10" s="7" t="n">
        <v>0</v>
      </c>
    </row>
    <row r="11" customFormat="false" ht="15" hidden="false" customHeight="false" outlineLevel="0" collapsed="false">
      <c r="A11" s="8" t="s">
        <v>44</v>
      </c>
      <c r="B11" s="8" t="s">
        <v>56</v>
      </c>
      <c r="C11" s="8" t="n">
        <v>5</v>
      </c>
      <c r="D11" s="9" t="s">
        <v>53</v>
      </c>
      <c r="E11" s="7" t="n">
        <v>0</v>
      </c>
    </row>
    <row r="12" customFormat="false" ht="15" hidden="false" customHeight="false" outlineLevel="0" collapsed="false">
      <c r="A12" s="8" t="s">
        <v>57</v>
      </c>
      <c r="B12" s="8" t="s">
        <v>45</v>
      </c>
      <c r="C12" s="8" t="n">
        <v>1</v>
      </c>
      <c r="D12" s="9" t="s">
        <v>58</v>
      </c>
      <c r="E12" s="7" t="n">
        <v>0</v>
      </c>
    </row>
    <row r="13" customFormat="false" ht="15" hidden="false" customHeight="false" outlineLevel="0" collapsed="false">
      <c r="A13" s="8" t="s">
        <v>57</v>
      </c>
      <c r="B13" s="8" t="s">
        <v>45</v>
      </c>
      <c r="C13" s="8" t="n">
        <v>2</v>
      </c>
      <c r="D13" s="9" t="s">
        <v>50</v>
      </c>
      <c r="E13" s="7" t="n">
        <v>0</v>
      </c>
    </row>
    <row r="14" customFormat="false" ht="15" hidden="false" customHeight="false" outlineLevel="0" collapsed="false">
      <c r="A14" s="8" t="s">
        <v>57</v>
      </c>
      <c r="B14" s="8" t="s">
        <v>45</v>
      </c>
      <c r="C14" s="8" t="n">
        <v>3</v>
      </c>
      <c r="D14" s="9" t="s">
        <v>51</v>
      </c>
      <c r="E14" s="7" t="n">
        <v>0</v>
      </c>
    </row>
    <row r="15" customFormat="false" ht="15" hidden="false" customHeight="false" outlineLevel="0" collapsed="false">
      <c r="A15" s="8" t="s">
        <v>57</v>
      </c>
      <c r="B15" s="8" t="s">
        <v>45</v>
      </c>
      <c r="C15" s="8" t="n">
        <v>4</v>
      </c>
      <c r="D15" s="9" t="s">
        <v>52</v>
      </c>
      <c r="E15" s="7" t="n">
        <v>0</v>
      </c>
    </row>
    <row r="16" customFormat="false" ht="15" hidden="false" customHeight="false" outlineLevel="0" collapsed="false">
      <c r="A16" s="8" t="s">
        <v>57</v>
      </c>
      <c r="B16" s="8" t="s">
        <v>45</v>
      </c>
      <c r="C16" s="8" t="n">
        <v>5</v>
      </c>
      <c r="D16" s="9" t="s">
        <v>53</v>
      </c>
      <c r="E16" s="7" t="n">
        <v>0</v>
      </c>
    </row>
    <row r="17" customFormat="false" ht="15" hidden="false" customHeight="false" outlineLevel="0" collapsed="false">
      <c r="A17" s="8" t="s">
        <v>57</v>
      </c>
      <c r="B17" s="8" t="s">
        <v>56</v>
      </c>
      <c r="C17" s="8" t="n">
        <v>1</v>
      </c>
      <c r="D17" s="9" t="s">
        <v>58</v>
      </c>
      <c r="E17" s="7" t="n">
        <v>0</v>
      </c>
    </row>
    <row r="18" customFormat="false" ht="15" hidden="false" customHeight="false" outlineLevel="0" collapsed="false">
      <c r="A18" s="8" t="s">
        <v>57</v>
      </c>
      <c r="B18" s="8" t="s">
        <v>56</v>
      </c>
      <c r="C18" s="8" t="n">
        <v>2</v>
      </c>
      <c r="D18" s="9" t="s">
        <v>50</v>
      </c>
      <c r="E18" s="7" t="n">
        <v>0</v>
      </c>
    </row>
    <row r="19" customFormat="false" ht="15" hidden="false" customHeight="false" outlineLevel="0" collapsed="false">
      <c r="A19" s="8" t="s">
        <v>57</v>
      </c>
      <c r="B19" s="8" t="s">
        <v>56</v>
      </c>
      <c r="C19" s="8" t="n">
        <v>3</v>
      </c>
      <c r="D19" s="9" t="s">
        <v>51</v>
      </c>
      <c r="E19" s="7" t="n">
        <v>0</v>
      </c>
    </row>
    <row r="20" customFormat="false" ht="15" hidden="false" customHeight="false" outlineLevel="0" collapsed="false">
      <c r="A20" s="8" t="s">
        <v>57</v>
      </c>
      <c r="B20" s="8" t="s">
        <v>56</v>
      </c>
      <c r="C20" s="8" t="n">
        <v>4</v>
      </c>
      <c r="D20" s="9" t="s">
        <v>52</v>
      </c>
      <c r="E20" s="7" t="n">
        <v>0</v>
      </c>
    </row>
    <row r="21" customFormat="false" ht="15" hidden="false" customHeight="false" outlineLevel="0" collapsed="false">
      <c r="A21" s="8" t="s">
        <v>57</v>
      </c>
      <c r="B21" s="8" t="s">
        <v>56</v>
      </c>
      <c r="C21" s="8" t="n">
        <v>5</v>
      </c>
      <c r="D21" s="9" t="s">
        <v>53</v>
      </c>
      <c r="E21" s="7" t="n">
        <v>0</v>
      </c>
    </row>
    <row r="23" customFormat="false" ht="15" hidden="false" customHeight="false" outlineLevel="0" collapsed="false">
      <c r="D23" s="3" t="s">
        <v>60</v>
      </c>
      <c r="E23" s="2" t="n">
        <f aca="false">SUMIFS($E$2:$E$21,$A$2:$A$21,"Private",$B$2:$B$21,"Individual")</f>
        <v>0</v>
      </c>
    </row>
    <row r="24" customFormat="false" ht="15" hidden="false" customHeight="false" outlineLevel="0" collapsed="false">
      <c r="D24" s="3" t="s">
        <v>61</v>
      </c>
      <c r="E24" s="2" t="n">
        <f aca="false">SUMIFS($E$2:$E$21,$A$2:$A$21,"Private",$B$2:$B$21,"Professional")</f>
        <v>0</v>
      </c>
    </row>
    <row r="25" customFormat="false" ht="15" hidden="false" customHeight="false" outlineLevel="0" collapsed="false">
      <c r="D25" s="3" t="s">
        <v>62</v>
      </c>
      <c r="E25" s="2" t="n">
        <f aca="false">SUMIFS($E$2:$E$21,$A$2:$A$21,"Priority",$B$2:$B$21,"Individual")</f>
        <v>0</v>
      </c>
    </row>
    <row r="26" customFormat="false" ht="15" hidden="false" customHeight="false" outlineLevel="0" collapsed="false">
      <c r="D26" s="3" t="s">
        <v>63</v>
      </c>
      <c r="E26" s="2" t="n">
        <f aca="false">SUMIFS($E$2:$E$21,$A$2:$A$21,"Priority",$B$2:$B$21,"Professional")</f>
        <v>0</v>
      </c>
    </row>
    <row r="28" customFormat="false" ht="15" hidden="false" customHeight="false" outlineLevel="0" collapsed="false">
      <c r="D28" s="3" t="s">
        <v>64</v>
      </c>
      <c r="E28" s="2" t="n">
        <f aca="false">SUM($E$2:$E$21)*3</f>
        <v>0</v>
      </c>
    </row>
  </sheetData>
  <autoFilter ref="A1:E21"/>
  <dataValidations count="1">
    <dataValidation allowBlank="false" error="Enter a slide count of 0 or more." errorStyle="stop" errorTitle="Whole number" operator="greaterThanOrEqual" showDropDown="false" showErrorMessage="true" showInputMessage="false" sqref="E2:E21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2026-08-18T12:41:27Z</dcterms:created>
  <dc:creator>openpyxl</dc:creator>
  <dc:description/>
  <dc:language>en-US</dc:language>
  <cp:lastModifiedBy/>
  <dcterms:modified xsi:type="dcterms:W3CDTF">2026-08-18T12:41:27Z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